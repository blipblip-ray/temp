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onemsci-my.sharepoint.com/personal/shreyash_mahapatra_msci_com/Documents/Documents/Personal/Home/"/>
    </mc:Choice>
  </mc:AlternateContent>
  <xr:revisionPtr revIDLastSave="10" documentId="11_799501EDF02EF53377423E1BEE79830852F6D7FF" xr6:coauthVersionLast="47" xr6:coauthVersionMax="47" xr10:uidLastSave="{E8BB67D7-1CA6-48D0-BA67-80090585C310}"/>
  <bookViews>
    <workbookView xWindow="-110" yWindow="-110" windowWidth="25820" windowHeight="15500" tabRatio="500" xr2:uid="{00000000-000D-0000-FFFF-FFFF00000000}"/>
  </bookViews>
  <sheets>
    <sheet name="Interior Design Themes" sheetId="1" r:id="rId1"/>
    <sheet name="Image Sources" sheetId="2" r:id="rId2"/>
    <sheet name="Cost Validation" sheetId="3" r:id="rId3"/>
    <sheet name="How to us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9" i="1" l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21" i="1" l="1"/>
  <c r="D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5" authorId="0" shapeId="0" xr:uid="{00000000-0006-0000-0000-000001000000}">
      <text>
        <r>
          <rPr>
            <sz val="10"/>
            <rFont val="Arial"/>
            <family val="2"/>
          </rPr>
          <t>Pinterest: https://www.pinterest.com/search/pins/?q=minimalist%20home%20interior
Houzz: https://www.houzz.com/photos/minimalist/style--style_minimalist</t>
        </r>
      </text>
    </comment>
    <comment ref="G6" authorId="0" shapeId="0" xr:uid="{00000000-0006-0000-0000-000002000000}">
      <text>
        <r>
          <rPr>
            <sz val="10"/>
            <rFont val="Arial"/>
            <family val="2"/>
          </rPr>
          <t>Pinterest: https://www.pinterest.com/search/pins/?q=scandinavian%20interior%20design
Houzz: https://www.houzz.com/photos/scandinavian/style--style_scandinavian</t>
        </r>
      </text>
    </comment>
    <comment ref="G7" authorId="0" shapeId="0" xr:uid="{00000000-0006-0000-0000-000003000000}">
      <text>
        <r>
          <rPr>
            <sz val="10"/>
            <rFont val="Arial"/>
            <family val="2"/>
          </rPr>
          <t>Pinterest: https://www.pinterest.com/search/pins/?q=japandi%20interior
Houzz: https://www.houzz.com/photos/japandi/query/japandi</t>
        </r>
      </text>
    </comment>
    <comment ref="G8" authorId="0" shapeId="0" xr:uid="{00000000-0006-0000-0000-000004000000}">
      <text>
        <r>
          <rPr>
            <sz val="10"/>
            <rFont val="Arial"/>
            <family val="2"/>
          </rPr>
          <t>Pinterest: https://www.pinterest.com/search/pins/?q=coastal%20interior%20design
Houzz: https://www.houzz.com/photos/coastal/style--style_coastal</t>
        </r>
      </text>
    </comment>
    <comment ref="G9" authorId="0" shapeId="0" xr:uid="{00000000-0006-0000-0000-000005000000}">
      <text>
        <r>
          <rPr>
            <sz val="10"/>
            <rFont val="Arial"/>
            <family val="2"/>
          </rPr>
          <t>Pinterest: https://www.pinterest.com/search/pins/?q=modern%20farmhouse%20interior
Houzz: https://www.houzz.com/photos/modern-farmhouse/query/modern-farmhouse</t>
        </r>
      </text>
    </comment>
    <comment ref="G10" authorId="0" shapeId="0" xr:uid="{00000000-0006-0000-0000-000006000000}">
      <text>
        <r>
          <rPr>
            <sz val="10"/>
            <rFont val="Arial"/>
            <family val="2"/>
          </rPr>
          <t>Pinterest: https://www.pinterest.com/search/pins/?q=indian%20contemporary%20home%20interior
Houzz: https://www.houzz.com/photos/indian/query/indian-contemporary</t>
        </r>
      </text>
    </comment>
    <comment ref="G11" authorId="0" shapeId="0" xr:uid="{00000000-0006-0000-0000-000007000000}">
      <text>
        <r>
          <rPr>
            <sz val="10"/>
            <rFont val="Arial"/>
            <family val="2"/>
          </rPr>
          <t>Pinterest: https://www.pinterest.com/search/pins/?q=biophilic%20interior%20design
Houzz: https://www.houzz.com/photos/biophilic-design/query/biophilic</t>
        </r>
      </text>
    </comment>
    <comment ref="G12" authorId="0" shapeId="0" xr:uid="{00000000-0006-0000-0000-000008000000}">
      <text>
        <r>
          <rPr>
            <sz val="10"/>
            <rFont val="Arial"/>
            <family val="2"/>
          </rPr>
          <t>Pinterest: https://www.pinterest.com/search/pins/?q=contemporary%20interior%20design
Houzz: https://www.houzz.com/photos/contemporary/style--style_contemporary</t>
        </r>
      </text>
    </comment>
    <comment ref="G13" authorId="0" shapeId="0" xr:uid="{00000000-0006-0000-0000-000009000000}">
      <text>
        <r>
          <rPr>
            <sz val="10"/>
            <rFont val="Arial"/>
            <family val="2"/>
          </rPr>
          <t>Pinterest: https://www.pinterest.com/search/pins/?q=mid%20century%20modern%20interior
Houzz: https://www.houzz.com/photos/midcentury/style--style_midcentury</t>
        </r>
      </text>
    </comment>
    <comment ref="G14" authorId="0" shapeId="0" xr:uid="{00000000-0006-0000-0000-00000A000000}">
      <text>
        <r>
          <rPr>
            <sz val="10"/>
            <rFont val="Arial"/>
            <family val="2"/>
          </rPr>
          <t>Pinterest: https://www.pinterest.com/search/pins/?q=light%20bohemian%20interior
Houzz: https://www.houzz.com/photos/bohemian/query/bohemian-light</t>
        </r>
      </text>
    </comment>
    <comment ref="G15" authorId="0" shapeId="0" xr:uid="{00000000-0006-0000-0000-00000B000000}">
      <text>
        <r>
          <rPr>
            <sz val="10"/>
            <rFont val="Arial"/>
            <family val="2"/>
          </rPr>
          <t>Pinterest: https://www.pinterest.com/search/pins/?q=light%20industrial%20interior
Houzz: https://www.houzz.com/photos/industrial/style--style_industrial</t>
        </r>
      </text>
    </comment>
    <comment ref="G16" authorId="0" shapeId="0" xr:uid="{00000000-0006-0000-0000-00000C000000}">
      <text>
        <r>
          <rPr>
            <sz val="10"/>
            <rFont val="Arial"/>
            <family val="2"/>
          </rPr>
          <t>Pinterest: https://www.pinterest.com/search/pins/?q=mediterranean%20interior%20design
Houzz: https://www.houzz.com/photos/mediterranean/style--style_mediterranean</t>
        </r>
      </text>
    </comment>
    <comment ref="G17" authorId="0" shapeId="0" xr:uid="{00000000-0006-0000-0000-00000D000000}">
      <text>
        <r>
          <rPr>
            <sz val="10"/>
            <rFont val="Arial"/>
            <family val="2"/>
          </rPr>
          <t>Pinterest: https://www.pinterest.com/search/pins/?q=transitional%20interior%20design
Houzz: https://www.houzz.com/photos/transitional/style--style_transitional</t>
        </r>
      </text>
    </comment>
    <comment ref="G18" authorId="0" shapeId="0" xr:uid="{00000000-0006-0000-0000-00000E000000}">
      <text>
        <r>
          <rPr>
            <sz val="10"/>
            <rFont val="Arial"/>
            <family val="2"/>
          </rPr>
          <t>Pinterest: https://www.pinterest.com/search/pins/?q=quiet%20luxury%20interior
Houzz: https://www.houzz.com/photos/luxury-home/query/quiet-luxury</t>
        </r>
      </text>
    </comment>
    <comment ref="G19" authorId="0" shapeId="0" xr:uid="{00000000-0006-0000-0000-00000F000000}">
      <text>
        <r>
          <rPr>
            <sz val="10"/>
            <rFont val="Arial"/>
            <family val="2"/>
          </rPr>
          <t>Pinterest: https://www.pinterest.com/search/pins/?q=traditional%20indian%20home%20interior
Houzz: https://www.houzz.com/photos/traditional-indian/query/traditional-indian</t>
        </r>
      </text>
    </comment>
  </commentList>
</comments>
</file>

<file path=xl/sharedStrings.xml><?xml version="1.0" encoding="utf-8"?>
<sst xmlns="http://schemas.openxmlformats.org/spreadsheetml/2006/main" count="167" uniqueCount="135">
  <si>
    <t>Interior Design Themes — 1700 sqft Cost Estimate (Bhubaneswar, INR)</t>
  </si>
  <si>
    <t>Costs validated against Bhubaneswar market (2025–26). Full-home interiors (furniture, finishes, lighting, soft furnishings). Excludes civil/structural work.</t>
  </si>
  <si>
    <t>Theme</t>
  </si>
  <si>
    <t>Look &amp; Feel</t>
  </si>
  <si>
    <t>Cost / sqft (INR)</t>
  </si>
  <si>
    <t>Estimated Cost — Low (INR)</t>
  </si>
  <si>
    <t>Estimated Cost — High (INR)</t>
  </si>
  <si>
    <t>Notes</t>
  </si>
  <si>
    <t>Image References</t>
  </si>
  <si>
    <t>Assumption</t>
  </si>
  <si>
    <t>Minimalist</t>
  </si>
  <si>
    <t>Clean, uncluttered, monochromatic, hidden storage</t>
  </si>
  <si>
    <t>₹800 – ₹1,400</t>
  </si>
  <si>
    <t>Lowest theme cost. Fewer items but quality-focused.</t>
  </si>
  <si>
    <t>Pinterest  |  Houzz</t>
  </si>
  <si>
    <t>Area (sqft)</t>
  </si>
  <si>
    <t>Scandinavian</t>
  </si>
  <si>
    <t>White walls, light oak/birch, soft textiles, natural light</t>
  </si>
  <si>
    <t>₹1,000 – ₹1,600</t>
  </si>
  <si>
    <t>Light and cozy. IKEA-friendly base; upgrade key pieces.</t>
  </si>
  <si>
    <t>Japandi</t>
  </si>
  <si>
    <t>Muted earth tones, low furniture, handcrafted, calm</t>
  </si>
  <si>
    <t>₹1,300 – ₹2,100</t>
  </si>
  <si>
    <t>Higher cost due to craftsmanship and premium natural materials.</t>
  </si>
  <si>
    <t>Location</t>
  </si>
  <si>
    <t>Bhubaneswar</t>
  </si>
  <si>
    <t>Coastal</t>
  </si>
  <si>
    <t>Whites, soft blues, jute, rattan, weathered wood</t>
  </si>
  <si>
    <t>₹900 – ₹1,500</t>
  </si>
  <si>
    <t>Breezy and bright. Works well with Bhubaneswar's warm climate.</t>
  </si>
  <si>
    <t>Modern Farmhouse</t>
  </si>
  <si>
    <t>White/cream base, light wood, black hardware accents</t>
  </si>
  <si>
    <t>₹1,150 – ₹1,800</t>
  </si>
  <si>
    <t>Light overall with character. Joanna Gaines-style.</t>
  </si>
  <si>
    <t>Indo-Contemporary</t>
  </si>
  <si>
    <t>Whitewashed walls, light teak, brass, handloom, terracotta</t>
  </si>
  <si>
    <t>₹1,300 – ₹2,200</t>
  </si>
  <si>
    <t>Bright Indian craft aesthetic. Pairs well with Odia heritage motifs.</t>
  </si>
  <si>
    <t>Biophilic</t>
  </si>
  <si>
    <t>Plants-first, big windows, natural materials, light neutrals</t>
  </si>
  <si>
    <t>₹1,150 – ₹1,950</t>
  </si>
  <si>
    <t>Outdoor-inside feel. Works with Bhubaneswar's tropical greenery.</t>
  </si>
  <si>
    <t>Contemporary</t>
  </si>
  <si>
    <t>Current trends, fluid, neutral with bold accents</t>
  </si>
  <si>
    <t>₹1,150 – ₹1,850</t>
  </si>
  <si>
    <t>Most flexible. Easy to update over time.</t>
  </si>
  <si>
    <t>Mid-Century Modern</t>
  </si>
  <si>
    <t>Teak/walnut, tapered legs, mustard/olive accents</t>
  </si>
  <si>
    <t>₹1,400 – ₹2,300</t>
  </si>
  <si>
    <t>Quality wood furniture drives cost up. Timeless look.</t>
  </si>
  <si>
    <t>Bohemian (Light)</t>
  </si>
  <si>
    <t>Layered textiles, plants, warm neutrals, eclectic</t>
  </si>
  <si>
    <t>₹700 – ₹1,300</t>
  </si>
  <si>
    <t>Most budget-friendly. Mix vintage finds and DIY.</t>
  </si>
  <si>
    <t>Industrial (Soft)</t>
  </si>
  <si>
    <t>Light brick/concrete, light wood, leather, big windows</t>
  </si>
  <si>
    <t>₹1,000 – ₹1,700</t>
  </si>
  <si>
    <t>Softer take on industrial. Edgy but warm.</t>
  </si>
  <si>
    <t>Mediterranean</t>
  </si>
  <si>
    <t>Terracotta, stucco, arches, blue accents, wrought iron</t>
  </si>
  <si>
    <t>Custom finishes (stucco, arches) push cost up.</t>
  </si>
  <si>
    <t>Transitional</t>
  </si>
  <si>
    <t>Traditional shapes, simpler finishes, neutral palette</t>
  </si>
  <si>
    <t>Safe, broadly liked. Mid-range default.</t>
  </si>
  <si>
    <t>Quiet Luxury</t>
  </si>
  <si>
    <t>Premium neutrals, tactile materials, no logos, understated</t>
  </si>
  <si>
    <t>₹2,300 – ₹4,200</t>
  </si>
  <si>
    <t>Most expensive. Cost is in materials, not visible flash.</t>
  </si>
  <si>
    <t>Traditional Indian</t>
  </si>
  <si>
    <t>Carved wood, brass, jewel tones, jaali screens, block prints</t>
  </si>
  <si>
    <t>₹1,600 – ₹2,700</t>
  </si>
  <si>
    <t>Heavier and richer; bespoke woodwork drives cost. Pattachitra/Odia motifs work well.</t>
  </si>
  <si>
    <t>Range across all themes</t>
  </si>
  <si>
    <t>Pinterest Search</t>
  </si>
  <si>
    <t>Houzz Search</t>
  </si>
  <si>
    <t>https://www.pinterest.com/search/pins/?q=minimalist%20home%20interior</t>
  </si>
  <si>
    <t>https://www.houzz.com/photos/minimalist/style--style_minimalist</t>
  </si>
  <si>
    <t>https://www.pinterest.com/search/pins/?q=scandinavian%20interior%20design</t>
  </si>
  <si>
    <t>https://www.houzz.com/photos/scandinavian/style--style_scandinavian</t>
  </si>
  <si>
    <t>https://www.pinterest.com/search/pins/?q=japandi%20interior</t>
  </si>
  <si>
    <t>https://www.houzz.com/photos/japandi/query/japandi</t>
  </si>
  <si>
    <t>https://www.pinterest.com/search/pins/?q=coastal%20interior%20design</t>
  </si>
  <si>
    <t>https://www.houzz.com/photos/coastal/style--style_coastal</t>
  </si>
  <si>
    <t>https://www.pinterest.com/search/pins/?q=modern%20farmhouse%20interior</t>
  </si>
  <si>
    <t>https://www.houzz.com/photos/modern-farmhouse/query/modern-farmhouse</t>
  </si>
  <si>
    <t>https://www.pinterest.com/search/pins/?q=indian%20contemporary%20home%20interior</t>
  </si>
  <si>
    <t>https://www.houzz.com/photos/indian/query/indian-contemporary</t>
  </si>
  <si>
    <t>https://www.pinterest.com/search/pins/?q=biophilic%20interior%20design</t>
  </si>
  <si>
    <t>https://www.houzz.com/photos/biophilic-design/query/biophilic</t>
  </si>
  <si>
    <t>https://www.pinterest.com/search/pins/?q=contemporary%20interior%20design</t>
  </si>
  <si>
    <t>https://www.houzz.com/photos/contemporary/style--style_contemporary</t>
  </si>
  <si>
    <t>https://www.pinterest.com/search/pins/?q=mid%20century%20modern%20interior</t>
  </si>
  <si>
    <t>https://www.houzz.com/photos/midcentury/style--style_midcentury</t>
  </si>
  <si>
    <t>https://www.pinterest.com/search/pins/?q=light%20bohemian%20interior</t>
  </si>
  <si>
    <t>https://www.houzz.com/photos/bohemian/query/bohemian-light</t>
  </si>
  <si>
    <t>https://www.pinterest.com/search/pins/?q=light%20industrial%20interior</t>
  </si>
  <si>
    <t>https://www.houzz.com/photos/industrial/style--style_industrial</t>
  </si>
  <si>
    <t>https://www.pinterest.com/search/pins/?q=mediterranean%20interior%20design</t>
  </si>
  <si>
    <t>https://www.houzz.com/photos/mediterranean/style--style_mediterranean</t>
  </si>
  <si>
    <t>https://www.pinterest.com/search/pins/?q=transitional%20interior%20design</t>
  </si>
  <si>
    <t>https://www.houzz.com/photos/transitional/style--style_transitional</t>
  </si>
  <si>
    <t>https://www.pinterest.com/search/pins/?q=quiet%20luxury%20interior</t>
  </si>
  <si>
    <t>https://www.houzz.com/photos/luxury-home/query/quiet-luxury</t>
  </si>
  <si>
    <t>https://www.pinterest.com/search/pins/?q=traditional%20indian%20home%20interior</t>
  </si>
  <si>
    <t>https://www.houzz.com/photos/traditional-indian/query/traditional-indian</t>
  </si>
  <si>
    <t>Cost Validation — Bhubaneswar Interior Design Market</t>
  </si>
  <si>
    <t>Source-validated benchmarks for Bhubaneswar (2025–26):</t>
  </si>
  <si>
    <t>• Basic / minimalist designs: ₹800–₹1,200 per sqft</t>
  </si>
  <si>
    <t>• Mid-range / contemporary: ₹1,500–₹2,000 per sqft</t>
  </si>
  <si>
    <t>• Premium / luxury: ₹2,500–₹3,000+ per sqft</t>
  </si>
  <si>
    <t>• Carpenter daily wages in East India: ₹650–₹850/day (vs ₹900–₹1,200 in South Bengaluru)</t>
  </si>
  <si>
    <t>• Modular kitchen alone (Bhubaneswar): ₹1.6–₹6.5 lakh depending on size and finish</t>
  </si>
  <si>
    <t>Sources consulted:</t>
  </si>
  <si>
    <t>1. homedecoration.beehiiv.com — How to Calculate the Cost of Interior Design in Bhubaneswar (Apr 2025)</t>
  </si>
  <si>
    <t>2. coohom.com — 3 BHK Interior Design Cost in Bhubaneswar (Apr 2026)</t>
  </si>
  <si>
    <t>3. homelane.com — Modular Kitchen Cost Guide for Bhubaneswar (Feb 2026)</t>
  </si>
  <si>
    <t>4. mynivasa.com — Bengaluru rates (used as comparison baseline)</t>
  </si>
  <si>
    <t>How to interpret the cost ranges:</t>
  </si>
  <si>
    <t>• Low end = decent quality off-the-shelf furniture, laminate finishes, basic lighting</t>
  </si>
  <si>
    <t>• High end = bespoke woodwork, premium hardware (Hettich/Hafele), branded paints, designer lighting</t>
  </si>
  <si>
    <t>• Civil/structural work (false ceiling, flooring, plumbing rewiring) is NOT included — add ₹2.5–₹5 lakh</t>
  </si>
  <si>
    <t>• Designer fees are typically 8–15% of project cost in Bhubaneswar</t>
  </si>
  <si>
    <t>Recommended themes for Bhubaneswar:</t>
  </si>
  <si>
    <t>• Indo-Contemporary — pairs well with Odia heritage (Pattachitra, Dhokra, Sambalpuri textiles)</t>
  </si>
  <si>
    <t>• Biophilic — leverages tropical greenery; high humidity favors plant-rich interiors</t>
  </si>
  <si>
    <t>• Japandi — calm, premium feel that suits the city's quieter pace</t>
  </si>
  <si>
    <t>• Coastal — works for the warm climate and proximity to Puri/Konark coastline</t>
  </si>
  <si>
    <t>How to use this sheet</t>
  </si>
  <si>
    <t>1. Costs are typical Bhubaneswar market rates for full home interiors (furniture, finishes, lighting, soft furnishings, modular kitchen, wardrobes).</t>
  </si>
  <si>
    <t>2. Civil and structural work (false ceiling, flooring, plumbing, electrical re-wiring) is NOT included.</t>
  </si>
  <si>
    <t>3. To recalculate for a different area, change the value in cell J5 of the 'Interior Design Themes' tab.</t>
  </si>
  <si>
    <t>4. Cost ranges reflect: Low = decent quality / off-the-shelf; High = bespoke / premium materials.</t>
  </si>
  <si>
    <t>5. Click the Pinterest / Houzz links in the 'Image References' column to see real examples of each theme.</t>
  </si>
  <si>
    <t>6. Hover over the 'Image References' cell to see both URLs in the comment popup.</t>
  </si>
  <si>
    <t>7. See the 'Cost Validation' tab for source data and how the numbers were benchmarked.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</si>
</sst>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u/>
      <sz val="10"/>
      <color rgb="FF0563C1"/>
      <name val="Arial"/>
      <charset val="1"/>
    </font>
    <font>
      <b/>
      <sz val="10"/>
      <color rgb="FF0000FF"/>
      <name val="Arial"/>
      <charset val="1"/>
    </font>
    <font>
      <sz val="10"/>
      <name val="Arial"/>
      <family val="2"/>
    </font>
    <font>
      <b/>
      <sz val="13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34495E"/>
      </patternFill>
    </fill>
    <fill>
      <patternFill patternType="solid">
        <fgColor rgb="FF34495E"/>
        <bgColor rgb="FF2C3E50"/>
      </patternFill>
    </fill>
    <fill>
      <patternFill patternType="solid">
        <fgColor rgb="FFF8F9FA"/>
        <bgColor rgb="FFFFFFFF"/>
      </patternFill>
    </fill>
    <fill>
      <patternFill patternType="solid">
        <fgColor rgb="FFFFF3CD"/>
        <bgColor rgb="FFF8F9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164" fontId="5" fillId="4" borderId="1" xfId="0" applyNumberFormat="1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7" fillId="0" borderId="0" xfId="0" applyFont="1" applyAlignment="1">
      <alignment horizontal="right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4" fillId="5" borderId="1" xfId="0" applyFont="1" applyFill="1" applyBorder="1"/>
    <xf numFmtId="0" fontId="0" fillId="5" borderId="1" xfId="0" applyFill="1" applyBorder="1"/>
    <xf numFmtId="164" fontId="4" fillId="5" borderId="1" xfId="0" applyNumberFormat="1" applyFont="1" applyFill="1" applyBorder="1"/>
    <xf numFmtId="0" fontId="3" fillId="3" borderId="0" xfId="0" applyFont="1" applyFill="1" applyAlignment="1">
      <alignment horizontal="center"/>
    </xf>
    <xf numFmtId="0" fontId="6" fillId="0" borderId="0" xfId="0" applyFont="1"/>
    <xf numFmtId="0" fontId="9" fillId="0" borderId="0" xfId="0" applyFont="1"/>
    <xf numFmtId="0" fontId="5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F8F9FA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4495E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interest.com/search/pins/?q=contemporary%20interior%20design" TargetMode="External"/><Relationship Id="rId13" Type="http://schemas.openxmlformats.org/officeDocument/2006/relationships/hyperlink" Target="https://www.pinterest.com/search/pins/?q=transitional%20interior%20design" TargetMode="External"/><Relationship Id="rId3" Type="http://schemas.openxmlformats.org/officeDocument/2006/relationships/hyperlink" Target="https://www.pinterest.com/search/pins/?q=japandi%20interior" TargetMode="External"/><Relationship Id="rId7" Type="http://schemas.openxmlformats.org/officeDocument/2006/relationships/hyperlink" Target="https://www.pinterest.com/search/pins/?q=biophilic%20interior%20design" TargetMode="External"/><Relationship Id="rId12" Type="http://schemas.openxmlformats.org/officeDocument/2006/relationships/hyperlink" Target="https://www.pinterest.com/search/pins/?q=mediterranean%20interior%20design" TargetMode="External"/><Relationship Id="rId17" Type="http://schemas.openxmlformats.org/officeDocument/2006/relationships/comments" Target="../comments1.xml"/><Relationship Id="rId2" Type="http://schemas.openxmlformats.org/officeDocument/2006/relationships/hyperlink" Target="https://www.pinterest.com/search/pins/?q=scandinavian%20interior%20design" TargetMode="External"/><Relationship Id="rId16" Type="http://schemas.openxmlformats.org/officeDocument/2006/relationships/vmlDrawing" Target="../drawings/vmlDrawing1.vml"/><Relationship Id="rId1" Type="http://schemas.openxmlformats.org/officeDocument/2006/relationships/hyperlink" Target="https://www.pinterest.com/search/pins/?q=minimalist%20home%20interior" TargetMode="External"/><Relationship Id="rId6" Type="http://schemas.openxmlformats.org/officeDocument/2006/relationships/hyperlink" Target="https://www.pinterest.com/search/pins/?q=indian%20contemporary%20home%20interior" TargetMode="External"/><Relationship Id="rId11" Type="http://schemas.openxmlformats.org/officeDocument/2006/relationships/hyperlink" Target="https://www.pinterest.com/search/pins/?q=light%20industrial%20interior" TargetMode="External"/><Relationship Id="rId5" Type="http://schemas.openxmlformats.org/officeDocument/2006/relationships/hyperlink" Target="https://www.pinterest.com/search/pins/?q=modern%20farmhouse%20interior" TargetMode="External"/><Relationship Id="rId15" Type="http://schemas.openxmlformats.org/officeDocument/2006/relationships/hyperlink" Target="https://www.pinterest.com/search/pins/?q=traditional%20indian%20home%20interior" TargetMode="External"/><Relationship Id="rId10" Type="http://schemas.openxmlformats.org/officeDocument/2006/relationships/hyperlink" Target="https://www.pinterest.com/search/pins/?q=light%20bohemian%20interior" TargetMode="External"/><Relationship Id="rId4" Type="http://schemas.openxmlformats.org/officeDocument/2006/relationships/hyperlink" Target="https://www.pinterest.com/search/pins/?q=coastal%20interior%20design" TargetMode="External"/><Relationship Id="rId9" Type="http://schemas.openxmlformats.org/officeDocument/2006/relationships/hyperlink" Target="https://www.pinterest.com/search/pins/?q=mid%20century%20modern%20interior" TargetMode="External"/><Relationship Id="rId14" Type="http://schemas.openxmlformats.org/officeDocument/2006/relationships/hyperlink" Target="https://www.pinterest.com/search/pins/?q=quiet%20luxury%20interio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uzz.com/photos/coastal/style--style_coastal" TargetMode="External"/><Relationship Id="rId13" Type="http://schemas.openxmlformats.org/officeDocument/2006/relationships/hyperlink" Target="https://www.pinterest.com/search/pins/?q=biophilic%20interior%20design" TargetMode="External"/><Relationship Id="rId18" Type="http://schemas.openxmlformats.org/officeDocument/2006/relationships/hyperlink" Target="https://www.houzz.com/photos/midcentury/style--style_midcentury" TargetMode="External"/><Relationship Id="rId26" Type="http://schemas.openxmlformats.org/officeDocument/2006/relationships/hyperlink" Target="https://www.houzz.com/photos/transitional/style--style_transitional" TargetMode="External"/><Relationship Id="rId3" Type="http://schemas.openxmlformats.org/officeDocument/2006/relationships/hyperlink" Target="https://www.pinterest.com/search/pins/?q=scandinavian%20interior%20design" TargetMode="External"/><Relationship Id="rId21" Type="http://schemas.openxmlformats.org/officeDocument/2006/relationships/hyperlink" Target="https://www.pinterest.com/search/pins/?q=light%20industrial%20interior" TargetMode="External"/><Relationship Id="rId7" Type="http://schemas.openxmlformats.org/officeDocument/2006/relationships/hyperlink" Target="https://www.pinterest.com/search/pins/?q=coastal%20interior%20design" TargetMode="External"/><Relationship Id="rId12" Type="http://schemas.openxmlformats.org/officeDocument/2006/relationships/hyperlink" Target="https://www.houzz.com/photos/indian/query/indian-contemporary" TargetMode="External"/><Relationship Id="rId17" Type="http://schemas.openxmlformats.org/officeDocument/2006/relationships/hyperlink" Target="https://www.pinterest.com/search/pins/?q=mid%20century%20modern%20interior" TargetMode="External"/><Relationship Id="rId25" Type="http://schemas.openxmlformats.org/officeDocument/2006/relationships/hyperlink" Target="https://www.pinterest.com/search/pins/?q=transitional%20interior%20design" TargetMode="External"/><Relationship Id="rId2" Type="http://schemas.openxmlformats.org/officeDocument/2006/relationships/hyperlink" Target="https://www.houzz.com/photos/minimalist/style--style_minimalist" TargetMode="External"/><Relationship Id="rId16" Type="http://schemas.openxmlformats.org/officeDocument/2006/relationships/hyperlink" Target="https://www.houzz.com/photos/contemporary/style--style_contemporary" TargetMode="External"/><Relationship Id="rId20" Type="http://schemas.openxmlformats.org/officeDocument/2006/relationships/hyperlink" Target="https://www.houzz.com/photos/bohemian/query/bohemian-light" TargetMode="External"/><Relationship Id="rId29" Type="http://schemas.openxmlformats.org/officeDocument/2006/relationships/hyperlink" Target="https://www.pinterest.com/search/pins/?q=traditional%20indian%20home%20interior" TargetMode="External"/><Relationship Id="rId1" Type="http://schemas.openxmlformats.org/officeDocument/2006/relationships/hyperlink" Target="https://www.pinterest.com/search/pins/?q=minimalist%20home%20interior" TargetMode="External"/><Relationship Id="rId6" Type="http://schemas.openxmlformats.org/officeDocument/2006/relationships/hyperlink" Target="https://www.houzz.com/photos/japandi/query/japandi" TargetMode="External"/><Relationship Id="rId11" Type="http://schemas.openxmlformats.org/officeDocument/2006/relationships/hyperlink" Target="https://www.pinterest.com/search/pins/?q=indian%20contemporary%20home%20interior" TargetMode="External"/><Relationship Id="rId24" Type="http://schemas.openxmlformats.org/officeDocument/2006/relationships/hyperlink" Target="https://www.houzz.com/photos/mediterranean/style--style_mediterranean" TargetMode="External"/><Relationship Id="rId5" Type="http://schemas.openxmlformats.org/officeDocument/2006/relationships/hyperlink" Target="https://www.pinterest.com/search/pins/?q=japandi%20interior" TargetMode="External"/><Relationship Id="rId15" Type="http://schemas.openxmlformats.org/officeDocument/2006/relationships/hyperlink" Target="https://www.pinterest.com/search/pins/?q=contemporary%20interior%20design" TargetMode="External"/><Relationship Id="rId23" Type="http://schemas.openxmlformats.org/officeDocument/2006/relationships/hyperlink" Target="https://www.pinterest.com/search/pins/?q=mediterranean%20interior%20design" TargetMode="External"/><Relationship Id="rId28" Type="http://schemas.openxmlformats.org/officeDocument/2006/relationships/hyperlink" Target="https://www.houzz.com/photos/luxury-home/query/quiet-luxury" TargetMode="External"/><Relationship Id="rId10" Type="http://schemas.openxmlformats.org/officeDocument/2006/relationships/hyperlink" Target="https://www.houzz.com/photos/modern-farmhouse/query/modern-farmhouse" TargetMode="External"/><Relationship Id="rId19" Type="http://schemas.openxmlformats.org/officeDocument/2006/relationships/hyperlink" Target="https://www.pinterest.com/search/pins/?q=light%20bohemian%20interior" TargetMode="External"/><Relationship Id="rId4" Type="http://schemas.openxmlformats.org/officeDocument/2006/relationships/hyperlink" Target="https://www.houzz.com/photos/scandinavian/style--style_scandinavian" TargetMode="External"/><Relationship Id="rId9" Type="http://schemas.openxmlformats.org/officeDocument/2006/relationships/hyperlink" Target="https://www.pinterest.com/search/pins/?q=modern%20farmhouse%20interior" TargetMode="External"/><Relationship Id="rId14" Type="http://schemas.openxmlformats.org/officeDocument/2006/relationships/hyperlink" Target="https://www.houzz.com/photos/biophilic-design/query/biophilic" TargetMode="External"/><Relationship Id="rId22" Type="http://schemas.openxmlformats.org/officeDocument/2006/relationships/hyperlink" Target="https://www.houzz.com/photos/industrial/style--style_industrial" TargetMode="External"/><Relationship Id="rId27" Type="http://schemas.openxmlformats.org/officeDocument/2006/relationships/hyperlink" Target="https://www.pinterest.com/search/pins/?q=quiet%20luxury%20interior" TargetMode="External"/><Relationship Id="rId30" Type="http://schemas.openxmlformats.org/officeDocument/2006/relationships/hyperlink" Target="https://www.houzz.com/photos/traditional-indian/query/traditional-indi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Normal="100" workbookViewId="0">
      <selection activeCell="G5" sqref="G5"/>
    </sheetView>
  </sheetViews>
  <sheetFormatPr defaultColWidth="8.6328125" defaultRowHeight="14.5" x14ac:dyDescent="0.35"/>
  <cols>
    <col min="1" max="1" width="22" customWidth="1"/>
    <col min="2" max="2" width="38" customWidth="1"/>
    <col min="3" max="3" width="22" customWidth="1"/>
    <col min="4" max="5" width="24" customWidth="1"/>
    <col min="6" max="6" width="42" customWidth="1"/>
    <col min="7" max="7" width="22" customWidth="1"/>
    <col min="9" max="9" width="16" customWidth="1"/>
    <col min="10" max="10" width="14" customWidth="1"/>
  </cols>
  <sheetData>
    <row r="1" spans="1:10" ht="27.75" customHeight="1" x14ac:dyDescent="0.35">
      <c r="A1" s="2" t="s">
        <v>0</v>
      </c>
      <c r="B1" s="2"/>
      <c r="C1" s="2"/>
      <c r="D1" s="2"/>
      <c r="E1" s="2"/>
      <c r="F1" s="2"/>
      <c r="G1" s="2"/>
    </row>
    <row r="2" spans="1:10" ht="18" customHeight="1" x14ac:dyDescent="0.35">
      <c r="A2" s="1" t="s">
        <v>1</v>
      </c>
      <c r="B2" s="1"/>
      <c r="C2" s="1"/>
      <c r="D2" s="1"/>
      <c r="E2" s="1"/>
      <c r="F2" s="1"/>
      <c r="G2" s="1"/>
    </row>
    <row r="4" spans="1:10" ht="31.5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I4" s="4" t="s">
        <v>9</v>
      </c>
    </row>
    <row r="5" spans="1:10" ht="42" customHeight="1" x14ac:dyDescent="0.35">
      <c r="A5" s="5" t="s">
        <v>10</v>
      </c>
      <c r="B5" s="6" t="s">
        <v>11</v>
      </c>
      <c r="C5" s="6" t="s">
        <v>12</v>
      </c>
      <c r="D5" s="7">
        <f>800*$J$5</f>
        <v>1360000</v>
      </c>
      <c r="E5" s="7">
        <f>1400*$J$5</f>
        <v>2380000</v>
      </c>
      <c r="F5" s="6" t="s">
        <v>13</v>
      </c>
      <c r="G5" s="8" t="s">
        <v>14</v>
      </c>
      <c r="I5" t="s">
        <v>15</v>
      </c>
      <c r="J5" s="9">
        <v>1700</v>
      </c>
    </row>
    <row r="6" spans="1:10" ht="42" customHeight="1" x14ac:dyDescent="0.35">
      <c r="A6" s="10" t="s">
        <v>16</v>
      </c>
      <c r="B6" s="11" t="s">
        <v>17</v>
      </c>
      <c r="C6" s="11" t="s">
        <v>18</v>
      </c>
      <c r="D6" s="12">
        <f>1000*$J$5</f>
        <v>1700000</v>
      </c>
      <c r="E6" s="12">
        <f>1600*$J$5</f>
        <v>2720000</v>
      </c>
      <c r="F6" s="11" t="s">
        <v>19</v>
      </c>
      <c r="G6" s="13" t="s">
        <v>14</v>
      </c>
    </row>
    <row r="7" spans="1:10" ht="42" customHeight="1" x14ac:dyDescent="0.35">
      <c r="A7" s="5" t="s">
        <v>20</v>
      </c>
      <c r="B7" s="6" t="s">
        <v>21</v>
      </c>
      <c r="C7" s="6" t="s">
        <v>22</v>
      </c>
      <c r="D7" s="7">
        <f>1300*$J$5</f>
        <v>2210000</v>
      </c>
      <c r="E7" s="7">
        <f>2100*$J$5</f>
        <v>3570000</v>
      </c>
      <c r="F7" s="6" t="s">
        <v>23</v>
      </c>
      <c r="G7" s="8" t="s">
        <v>14</v>
      </c>
      <c r="I7" s="4" t="s">
        <v>24</v>
      </c>
      <c r="J7" s="14" t="s">
        <v>25</v>
      </c>
    </row>
    <row r="8" spans="1:10" ht="42" customHeight="1" x14ac:dyDescent="0.35">
      <c r="A8" s="10" t="s">
        <v>26</v>
      </c>
      <c r="B8" s="11" t="s">
        <v>27</v>
      </c>
      <c r="C8" s="11" t="s">
        <v>28</v>
      </c>
      <c r="D8" s="12">
        <f>900*$J$5</f>
        <v>1530000</v>
      </c>
      <c r="E8" s="12">
        <f>1500*$J$5</f>
        <v>2550000</v>
      </c>
      <c r="F8" s="11" t="s">
        <v>29</v>
      </c>
      <c r="G8" s="13" t="s">
        <v>14</v>
      </c>
    </row>
    <row r="9" spans="1:10" ht="42" customHeight="1" x14ac:dyDescent="0.35">
      <c r="A9" s="5" t="s">
        <v>30</v>
      </c>
      <c r="B9" s="6" t="s">
        <v>31</v>
      </c>
      <c r="C9" s="6" t="s">
        <v>32</v>
      </c>
      <c r="D9" s="7">
        <f>1150*$J$5</f>
        <v>1955000</v>
      </c>
      <c r="E9" s="7">
        <f>1800*$J$5</f>
        <v>3060000</v>
      </c>
      <c r="F9" s="6" t="s">
        <v>33</v>
      </c>
      <c r="G9" s="8" t="s">
        <v>14</v>
      </c>
    </row>
    <row r="10" spans="1:10" ht="42" customHeight="1" x14ac:dyDescent="0.35">
      <c r="A10" s="10" t="s">
        <v>34</v>
      </c>
      <c r="B10" s="11" t="s">
        <v>35</v>
      </c>
      <c r="C10" s="11" t="s">
        <v>36</v>
      </c>
      <c r="D10" s="12">
        <f>1300*$J$5</f>
        <v>2210000</v>
      </c>
      <c r="E10" s="12">
        <f>2200*$J$5</f>
        <v>3740000</v>
      </c>
      <c r="F10" s="11" t="s">
        <v>37</v>
      </c>
      <c r="G10" s="13" t="s">
        <v>14</v>
      </c>
    </row>
    <row r="11" spans="1:10" ht="42" customHeight="1" x14ac:dyDescent="0.35">
      <c r="A11" s="5" t="s">
        <v>38</v>
      </c>
      <c r="B11" s="6" t="s">
        <v>39</v>
      </c>
      <c r="C11" s="6" t="s">
        <v>40</v>
      </c>
      <c r="D11" s="7">
        <f>1150*$J$5</f>
        <v>1955000</v>
      </c>
      <c r="E11" s="7">
        <f>1950*$J$5</f>
        <v>3315000</v>
      </c>
      <c r="F11" s="6" t="s">
        <v>41</v>
      </c>
      <c r="G11" s="8" t="s">
        <v>14</v>
      </c>
    </row>
    <row r="12" spans="1:10" ht="42" customHeight="1" x14ac:dyDescent="0.35">
      <c r="A12" s="10" t="s">
        <v>42</v>
      </c>
      <c r="B12" s="11" t="s">
        <v>43</v>
      </c>
      <c r="C12" s="11" t="s">
        <v>44</v>
      </c>
      <c r="D12" s="12">
        <f>1150*$J$5</f>
        <v>1955000</v>
      </c>
      <c r="E12" s="12">
        <f>1850*$J$5</f>
        <v>3145000</v>
      </c>
      <c r="F12" s="11" t="s">
        <v>45</v>
      </c>
      <c r="G12" s="13" t="s">
        <v>14</v>
      </c>
    </row>
    <row r="13" spans="1:10" ht="42" customHeight="1" x14ac:dyDescent="0.35">
      <c r="A13" s="5" t="s">
        <v>46</v>
      </c>
      <c r="B13" s="6" t="s">
        <v>47</v>
      </c>
      <c r="C13" s="6" t="s">
        <v>48</v>
      </c>
      <c r="D13" s="7">
        <f>1400*$J$5</f>
        <v>2380000</v>
      </c>
      <c r="E13" s="7">
        <f>2300*$J$5</f>
        <v>3910000</v>
      </c>
      <c r="F13" s="6" t="s">
        <v>49</v>
      </c>
      <c r="G13" s="8" t="s">
        <v>14</v>
      </c>
    </row>
    <row r="14" spans="1:10" ht="42" customHeight="1" x14ac:dyDescent="0.35">
      <c r="A14" s="10" t="s">
        <v>50</v>
      </c>
      <c r="B14" s="11" t="s">
        <v>51</v>
      </c>
      <c r="C14" s="11" t="s">
        <v>52</v>
      </c>
      <c r="D14" s="12">
        <f>700*$J$5</f>
        <v>1190000</v>
      </c>
      <c r="E14" s="12">
        <f>1300*$J$5</f>
        <v>2210000</v>
      </c>
      <c r="F14" s="11" t="s">
        <v>53</v>
      </c>
      <c r="G14" s="13" t="s">
        <v>14</v>
      </c>
    </row>
    <row r="15" spans="1:10" ht="42" customHeight="1" x14ac:dyDescent="0.35">
      <c r="A15" s="5" t="s">
        <v>54</v>
      </c>
      <c r="B15" s="6" t="s">
        <v>55</v>
      </c>
      <c r="C15" s="6" t="s">
        <v>56</v>
      </c>
      <c r="D15" s="7">
        <f>1000*$J$5</f>
        <v>1700000</v>
      </c>
      <c r="E15" s="7">
        <f>1700*$J$5</f>
        <v>2890000</v>
      </c>
      <c r="F15" s="6" t="s">
        <v>57</v>
      </c>
      <c r="G15" s="8" t="s">
        <v>14</v>
      </c>
    </row>
    <row r="16" spans="1:10" ht="42" customHeight="1" x14ac:dyDescent="0.35">
      <c r="A16" s="10" t="s">
        <v>58</v>
      </c>
      <c r="B16" s="11" t="s">
        <v>59</v>
      </c>
      <c r="C16" s="11" t="s">
        <v>22</v>
      </c>
      <c r="D16" s="12">
        <f>1300*$J$5</f>
        <v>2210000</v>
      </c>
      <c r="E16" s="12">
        <f>2100*$J$5</f>
        <v>3570000</v>
      </c>
      <c r="F16" s="11" t="s">
        <v>60</v>
      </c>
      <c r="G16" s="13" t="s">
        <v>14</v>
      </c>
    </row>
    <row r="17" spans="1:7" ht="42" customHeight="1" x14ac:dyDescent="0.35">
      <c r="A17" s="5" t="s">
        <v>61</v>
      </c>
      <c r="B17" s="6" t="s">
        <v>62</v>
      </c>
      <c r="C17" s="6" t="s">
        <v>40</v>
      </c>
      <c r="D17" s="7">
        <f>1150*$J$5</f>
        <v>1955000</v>
      </c>
      <c r="E17" s="7">
        <f>1950*$J$5</f>
        <v>3315000</v>
      </c>
      <c r="F17" s="6" t="s">
        <v>63</v>
      </c>
      <c r="G17" s="8" t="s">
        <v>14</v>
      </c>
    </row>
    <row r="18" spans="1:7" ht="42" customHeight="1" x14ac:dyDescent="0.35">
      <c r="A18" s="10" t="s">
        <v>64</v>
      </c>
      <c r="B18" s="11" t="s">
        <v>65</v>
      </c>
      <c r="C18" s="11" t="s">
        <v>66</v>
      </c>
      <c r="D18" s="12">
        <f>2300*$J$5</f>
        <v>3910000</v>
      </c>
      <c r="E18" s="12">
        <f>4200*$J$5</f>
        <v>7140000</v>
      </c>
      <c r="F18" s="11" t="s">
        <v>67</v>
      </c>
      <c r="G18" s="13" t="s">
        <v>14</v>
      </c>
    </row>
    <row r="19" spans="1:7" ht="42" customHeight="1" x14ac:dyDescent="0.35">
      <c r="A19" s="5" t="s">
        <v>68</v>
      </c>
      <c r="B19" s="6" t="s">
        <v>69</v>
      </c>
      <c r="C19" s="6" t="s">
        <v>70</v>
      </c>
      <c r="D19" s="7">
        <f>1600*$J$5</f>
        <v>2720000</v>
      </c>
      <c r="E19" s="7">
        <f>2700*$J$5</f>
        <v>4590000</v>
      </c>
      <c r="F19" s="6" t="s">
        <v>71</v>
      </c>
      <c r="G19" s="8" t="s">
        <v>14</v>
      </c>
    </row>
    <row r="21" spans="1:7" x14ac:dyDescent="0.35">
      <c r="A21" s="15" t="s">
        <v>72</v>
      </c>
      <c r="B21" s="16"/>
      <c r="C21" s="16"/>
      <c r="D21" s="17">
        <f>MIN(D5:D19)</f>
        <v>1190000</v>
      </c>
      <c r="E21" s="17">
        <f>MAX(E5:E19)</f>
        <v>7140000</v>
      </c>
      <c r="F21" s="16"/>
      <c r="G21" s="16"/>
    </row>
  </sheetData>
  <mergeCells count="2">
    <mergeCell ref="A1:G1"/>
    <mergeCell ref="A2:G2"/>
  </mergeCells>
  <hyperlinks>
    <hyperlink ref="G5" r:id="rId1" xr:uid="{00000000-0004-0000-0000-000000000000}"/>
    <hyperlink ref="G6" r:id="rId2" xr:uid="{00000000-0004-0000-0000-000001000000}"/>
    <hyperlink ref="G7" r:id="rId3" xr:uid="{00000000-0004-0000-0000-000002000000}"/>
    <hyperlink ref="G8" r:id="rId4" xr:uid="{00000000-0004-0000-0000-000003000000}"/>
    <hyperlink ref="G9" r:id="rId5" xr:uid="{00000000-0004-0000-0000-000004000000}"/>
    <hyperlink ref="G10" r:id="rId6" xr:uid="{00000000-0004-0000-0000-000005000000}"/>
    <hyperlink ref="G11" r:id="rId7" xr:uid="{00000000-0004-0000-0000-000006000000}"/>
    <hyperlink ref="G12" r:id="rId8" xr:uid="{00000000-0004-0000-0000-000007000000}"/>
    <hyperlink ref="G13" r:id="rId9" xr:uid="{00000000-0004-0000-0000-000008000000}"/>
    <hyperlink ref="G14" r:id="rId10" xr:uid="{00000000-0004-0000-0000-000009000000}"/>
    <hyperlink ref="G15" r:id="rId11" xr:uid="{00000000-0004-0000-0000-00000A000000}"/>
    <hyperlink ref="G16" r:id="rId12" xr:uid="{00000000-0004-0000-0000-00000B000000}"/>
    <hyperlink ref="G17" r:id="rId13" xr:uid="{00000000-0004-0000-0000-00000C000000}"/>
    <hyperlink ref="G18" r:id="rId14" xr:uid="{00000000-0004-0000-0000-00000D000000}"/>
    <hyperlink ref="G19" r:id="rId15" xr:uid="{00000000-0004-0000-0000-00000E000000}"/>
  </hyperlinks>
  <pageMargins left="0.75" right="0.75" top="1" bottom="1" header="0.511811023622047" footer="0.511811023622047"/>
  <pageSetup paperSize="9" orientation="portrait" horizontalDpi="300" verticalDpi="300"/>
  <headerFooter>
    <oddFooter>&amp;C_x000D_&amp;1#&amp;"Aptos"&amp;9&amp;K000000 Information Classification: GENERAL</oddFooter>
  </headerFooter>
  <legacy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zoomScaleNormal="100" workbookViewId="0"/>
  </sheetViews>
  <sheetFormatPr defaultColWidth="8.6328125" defaultRowHeight="14.5" x14ac:dyDescent="0.35"/>
  <cols>
    <col min="1" max="1" width="24" customWidth="1"/>
    <col min="2" max="3" width="70" customWidth="1"/>
  </cols>
  <sheetData>
    <row r="1" spans="1:3" x14ac:dyDescent="0.35">
      <c r="A1" s="18" t="s">
        <v>2</v>
      </c>
      <c r="B1" s="18" t="s">
        <v>73</v>
      </c>
      <c r="C1" s="18" t="s">
        <v>74</v>
      </c>
    </row>
    <row r="2" spans="1:3" x14ac:dyDescent="0.35">
      <c r="A2" s="4" t="s">
        <v>10</v>
      </c>
      <c r="B2" s="19" t="s">
        <v>75</v>
      </c>
      <c r="C2" s="19" t="s">
        <v>76</v>
      </c>
    </row>
    <row r="3" spans="1:3" x14ac:dyDescent="0.35">
      <c r="A3" s="4" t="s">
        <v>16</v>
      </c>
      <c r="B3" s="19" t="s">
        <v>77</v>
      </c>
      <c r="C3" s="19" t="s">
        <v>78</v>
      </c>
    </row>
    <row r="4" spans="1:3" x14ac:dyDescent="0.35">
      <c r="A4" s="4" t="s">
        <v>20</v>
      </c>
      <c r="B4" s="19" t="s">
        <v>79</v>
      </c>
      <c r="C4" s="19" t="s">
        <v>80</v>
      </c>
    </row>
    <row r="5" spans="1:3" x14ac:dyDescent="0.35">
      <c r="A5" s="4" t="s">
        <v>26</v>
      </c>
      <c r="B5" s="19" t="s">
        <v>81</v>
      </c>
      <c r="C5" s="19" t="s">
        <v>82</v>
      </c>
    </row>
    <row r="6" spans="1:3" x14ac:dyDescent="0.35">
      <c r="A6" s="4" t="s">
        <v>30</v>
      </c>
      <c r="B6" s="19" t="s">
        <v>83</v>
      </c>
      <c r="C6" s="19" t="s">
        <v>84</v>
      </c>
    </row>
    <row r="7" spans="1:3" x14ac:dyDescent="0.35">
      <c r="A7" s="4" t="s">
        <v>34</v>
      </c>
      <c r="B7" s="19" t="s">
        <v>85</v>
      </c>
      <c r="C7" s="19" t="s">
        <v>86</v>
      </c>
    </row>
    <row r="8" spans="1:3" x14ac:dyDescent="0.35">
      <c r="A8" s="4" t="s">
        <v>38</v>
      </c>
      <c r="B8" s="19" t="s">
        <v>87</v>
      </c>
      <c r="C8" s="19" t="s">
        <v>88</v>
      </c>
    </row>
    <row r="9" spans="1:3" x14ac:dyDescent="0.35">
      <c r="A9" s="4" t="s">
        <v>42</v>
      </c>
      <c r="B9" s="19" t="s">
        <v>89</v>
      </c>
      <c r="C9" s="19" t="s">
        <v>90</v>
      </c>
    </row>
    <row r="10" spans="1:3" x14ac:dyDescent="0.35">
      <c r="A10" s="4" t="s">
        <v>46</v>
      </c>
      <c r="B10" s="19" t="s">
        <v>91</v>
      </c>
      <c r="C10" s="19" t="s">
        <v>92</v>
      </c>
    </row>
    <row r="11" spans="1:3" x14ac:dyDescent="0.35">
      <c r="A11" s="4" t="s">
        <v>50</v>
      </c>
      <c r="B11" s="19" t="s">
        <v>93</v>
      </c>
      <c r="C11" s="19" t="s">
        <v>94</v>
      </c>
    </row>
    <row r="12" spans="1:3" x14ac:dyDescent="0.35">
      <c r="A12" s="4" t="s">
        <v>54</v>
      </c>
      <c r="B12" s="19" t="s">
        <v>95</v>
      </c>
      <c r="C12" s="19" t="s">
        <v>96</v>
      </c>
    </row>
    <row r="13" spans="1:3" x14ac:dyDescent="0.35">
      <c r="A13" s="4" t="s">
        <v>58</v>
      </c>
      <c r="B13" s="19" t="s">
        <v>97</v>
      </c>
      <c r="C13" s="19" t="s">
        <v>98</v>
      </c>
    </row>
    <row r="14" spans="1:3" x14ac:dyDescent="0.35">
      <c r="A14" s="4" t="s">
        <v>61</v>
      </c>
      <c r="B14" s="19" t="s">
        <v>99</v>
      </c>
      <c r="C14" s="19" t="s">
        <v>100</v>
      </c>
    </row>
    <row r="15" spans="1:3" x14ac:dyDescent="0.35">
      <c r="A15" s="4" t="s">
        <v>64</v>
      </c>
      <c r="B15" s="19" t="s">
        <v>101</v>
      </c>
      <c r="C15" s="19" t="s">
        <v>102</v>
      </c>
    </row>
    <row r="16" spans="1:3" x14ac:dyDescent="0.35">
      <c r="A16" s="4" t="s">
        <v>68</v>
      </c>
      <c r="B16" s="19" t="s">
        <v>103</v>
      </c>
      <c r="C16" s="19" t="s">
        <v>104</v>
      </c>
    </row>
  </sheetData>
  <hyperlinks>
    <hyperlink ref="B2" r:id="rId1" xr:uid="{00000000-0004-0000-0100-000000000000}"/>
    <hyperlink ref="C2" r:id="rId2" xr:uid="{00000000-0004-0000-0100-000001000000}"/>
    <hyperlink ref="B3" r:id="rId3" xr:uid="{00000000-0004-0000-0100-000002000000}"/>
    <hyperlink ref="C3" r:id="rId4" xr:uid="{00000000-0004-0000-0100-000003000000}"/>
    <hyperlink ref="B4" r:id="rId5" xr:uid="{00000000-0004-0000-0100-000004000000}"/>
    <hyperlink ref="C4" r:id="rId6" xr:uid="{00000000-0004-0000-0100-000005000000}"/>
    <hyperlink ref="B5" r:id="rId7" xr:uid="{00000000-0004-0000-0100-000006000000}"/>
    <hyperlink ref="C5" r:id="rId8" xr:uid="{00000000-0004-0000-0100-000007000000}"/>
    <hyperlink ref="B6" r:id="rId9" xr:uid="{00000000-0004-0000-0100-000008000000}"/>
    <hyperlink ref="C6" r:id="rId10" xr:uid="{00000000-0004-0000-0100-000009000000}"/>
    <hyperlink ref="B7" r:id="rId11" xr:uid="{00000000-0004-0000-0100-00000A000000}"/>
    <hyperlink ref="C7" r:id="rId12" xr:uid="{00000000-0004-0000-0100-00000B000000}"/>
    <hyperlink ref="B8" r:id="rId13" xr:uid="{00000000-0004-0000-0100-00000C000000}"/>
    <hyperlink ref="C8" r:id="rId14" xr:uid="{00000000-0004-0000-0100-00000D000000}"/>
    <hyperlink ref="B9" r:id="rId15" xr:uid="{00000000-0004-0000-0100-00000E000000}"/>
    <hyperlink ref="C9" r:id="rId16" xr:uid="{00000000-0004-0000-0100-00000F000000}"/>
    <hyperlink ref="B10" r:id="rId17" xr:uid="{00000000-0004-0000-0100-000010000000}"/>
    <hyperlink ref="C10" r:id="rId18" xr:uid="{00000000-0004-0000-0100-000011000000}"/>
    <hyperlink ref="B11" r:id="rId19" xr:uid="{00000000-0004-0000-0100-000012000000}"/>
    <hyperlink ref="C11" r:id="rId20" xr:uid="{00000000-0004-0000-0100-000013000000}"/>
    <hyperlink ref="B12" r:id="rId21" xr:uid="{00000000-0004-0000-0100-000014000000}"/>
    <hyperlink ref="C12" r:id="rId22" xr:uid="{00000000-0004-0000-0100-000015000000}"/>
    <hyperlink ref="B13" r:id="rId23" xr:uid="{00000000-0004-0000-0100-000016000000}"/>
    <hyperlink ref="C13" r:id="rId24" xr:uid="{00000000-0004-0000-0100-000017000000}"/>
    <hyperlink ref="B14" r:id="rId25" xr:uid="{00000000-0004-0000-0100-000018000000}"/>
    <hyperlink ref="C14" r:id="rId26" xr:uid="{00000000-0004-0000-0100-000019000000}"/>
    <hyperlink ref="B15" r:id="rId27" xr:uid="{00000000-0004-0000-0100-00001A000000}"/>
    <hyperlink ref="C15" r:id="rId28" xr:uid="{00000000-0004-0000-0100-00001B000000}"/>
    <hyperlink ref="B16" r:id="rId29" xr:uid="{00000000-0004-0000-0100-00001C000000}"/>
    <hyperlink ref="C16" r:id="rId30" xr:uid="{00000000-0004-0000-0100-00001D000000}"/>
  </hyperlinks>
  <pageMargins left="0.75" right="0.75" top="1" bottom="1" header="0.511811023622047" footer="0.511811023622047"/>
  <pageSetup paperSize="9" orientation="portrait" horizontalDpi="300" verticalDpi="300"/>
  <headerFooter>
    <oddFooter>&amp;C_x000D_&amp;1#&amp;"Aptos"&amp;9&amp;K000000 Information Classification: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6"/>
  <sheetViews>
    <sheetView zoomScaleNormal="100" workbookViewId="0"/>
  </sheetViews>
  <sheetFormatPr defaultColWidth="8.6328125" defaultRowHeight="14.5" x14ac:dyDescent="0.35"/>
  <cols>
    <col min="1" max="1" width="110" customWidth="1"/>
  </cols>
  <sheetData>
    <row r="1" spans="1:1" ht="16.5" x14ac:dyDescent="0.35">
      <c r="A1" s="20" t="s">
        <v>105</v>
      </c>
    </row>
    <row r="2" spans="1:1" x14ac:dyDescent="0.35">
      <c r="A2" s="21"/>
    </row>
    <row r="3" spans="1:1" x14ac:dyDescent="0.35">
      <c r="A3" s="22" t="s">
        <v>106</v>
      </c>
    </row>
    <row r="4" spans="1:1" x14ac:dyDescent="0.35">
      <c r="A4" s="21" t="s">
        <v>107</v>
      </c>
    </row>
    <row r="5" spans="1:1" x14ac:dyDescent="0.35">
      <c r="A5" s="21" t="s">
        <v>108</v>
      </c>
    </row>
    <row r="6" spans="1:1" x14ac:dyDescent="0.35">
      <c r="A6" s="21" t="s">
        <v>109</v>
      </c>
    </row>
    <row r="7" spans="1:1" x14ac:dyDescent="0.35">
      <c r="A7" s="21" t="s">
        <v>110</v>
      </c>
    </row>
    <row r="8" spans="1:1" x14ac:dyDescent="0.35">
      <c r="A8" s="21" t="s">
        <v>111</v>
      </c>
    </row>
    <row r="9" spans="1:1" x14ac:dyDescent="0.35">
      <c r="A9" s="21"/>
    </row>
    <row r="10" spans="1:1" x14ac:dyDescent="0.35">
      <c r="A10" s="22" t="s">
        <v>112</v>
      </c>
    </row>
    <row r="11" spans="1:1" x14ac:dyDescent="0.35">
      <c r="A11" s="21" t="s">
        <v>113</v>
      </c>
    </row>
    <row r="12" spans="1:1" x14ac:dyDescent="0.35">
      <c r="A12" s="21" t="s">
        <v>114</v>
      </c>
    </row>
    <row r="13" spans="1:1" x14ac:dyDescent="0.35">
      <c r="A13" s="21" t="s">
        <v>115</v>
      </c>
    </row>
    <row r="14" spans="1:1" x14ac:dyDescent="0.35">
      <c r="A14" s="21" t="s">
        <v>116</v>
      </c>
    </row>
    <row r="15" spans="1:1" x14ac:dyDescent="0.35">
      <c r="A15" s="21"/>
    </row>
    <row r="16" spans="1:1" x14ac:dyDescent="0.35">
      <c r="A16" s="22" t="s">
        <v>117</v>
      </c>
    </row>
    <row r="17" spans="1:1" x14ac:dyDescent="0.35">
      <c r="A17" s="21" t="s">
        <v>118</v>
      </c>
    </row>
    <row r="18" spans="1:1" x14ac:dyDescent="0.35">
      <c r="A18" s="21" t="s">
        <v>119</v>
      </c>
    </row>
    <row r="19" spans="1:1" x14ac:dyDescent="0.35">
      <c r="A19" s="21" t="s">
        <v>120</v>
      </c>
    </row>
    <row r="20" spans="1:1" x14ac:dyDescent="0.35">
      <c r="A20" s="21" t="s">
        <v>121</v>
      </c>
    </row>
    <row r="21" spans="1:1" x14ac:dyDescent="0.35">
      <c r="A21" s="21"/>
    </row>
    <row r="22" spans="1:1" x14ac:dyDescent="0.35">
      <c r="A22" s="22" t="s">
        <v>122</v>
      </c>
    </row>
    <row r="23" spans="1:1" x14ac:dyDescent="0.35">
      <c r="A23" s="21" t="s">
        <v>123</v>
      </c>
    </row>
    <row r="24" spans="1:1" x14ac:dyDescent="0.35">
      <c r="A24" s="21" t="s">
        <v>124</v>
      </c>
    </row>
    <row r="25" spans="1:1" x14ac:dyDescent="0.35">
      <c r="A25" s="21" t="s">
        <v>125</v>
      </c>
    </row>
    <row r="26" spans="1:1" x14ac:dyDescent="0.35">
      <c r="A26" s="21" t="s">
        <v>126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&amp;C_x000D_&amp;1#&amp;"Aptos"&amp;9&amp;K000000 Information Classification: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zoomScaleNormal="100" workbookViewId="0"/>
  </sheetViews>
  <sheetFormatPr defaultColWidth="8.6328125" defaultRowHeight="14.5" x14ac:dyDescent="0.35"/>
  <cols>
    <col min="1" max="1" width="110" customWidth="1"/>
  </cols>
  <sheetData>
    <row r="1" spans="1:1" ht="15.5" x14ac:dyDescent="0.35">
      <c r="A1" s="23" t="s">
        <v>127</v>
      </c>
    </row>
    <row r="2" spans="1:1" x14ac:dyDescent="0.35">
      <c r="A2" s="21"/>
    </row>
    <row r="3" spans="1:1" x14ac:dyDescent="0.35">
      <c r="A3" s="21" t="s">
        <v>128</v>
      </c>
    </row>
    <row r="4" spans="1:1" x14ac:dyDescent="0.35">
      <c r="A4" s="21" t="s">
        <v>129</v>
      </c>
    </row>
    <row r="5" spans="1:1" x14ac:dyDescent="0.35">
      <c r="A5" s="21" t="s">
        <v>130</v>
      </c>
    </row>
    <row r="6" spans="1:1" x14ac:dyDescent="0.35">
      <c r="A6" s="21" t="s">
        <v>131</v>
      </c>
    </row>
    <row r="7" spans="1:1" x14ac:dyDescent="0.35">
      <c r="A7" s="21" t="s">
        <v>132</v>
      </c>
    </row>
    <row r="8" spans="1:1" x14ac:dyDescent="0.35">
      <c r="A8" s="21" t="s">
        <v>133</v>
      </c>
    </row>
    <row r="9" spans="1:1" x14ac:dyDescent="0.35">
      <c r="A9" s="21" t="s">
        <v>134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&amp;C_x000D_&amp;1#&amp;"Aptos"&amp;9&amp;K000000 Information Classification: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Interior Design Themes</vt:lpstr>
      <vt:lpstr>Image Sources</vt:lpstr>
      <vt:lpstr>Cost Validation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Mahapatra, Shreyash</cp:lastModifiedBy>
  <cp:revision>0</cp:revision>
  <dcterms:created xsi:type="dcterms:W3CDTF">2026-05-03T10:06:24Z</dcterms:created>
  <dcterms:modified xsi:type="dcterms:W3CDTF">2026-05-03T10:15:03Z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60f8386-55a0-404e-9dce-4d5bc8b309d8_Enabled">
    <vt:lpwstr>true</vt:lpwstr>
  </property>
  <property fmtid="{D5CDD505-2E9C-101B-9397-08002B2CF9AE}" pid="3" name="MSIP_Label_b60f8386-55a0-404e-9dce-4d5bc8b309d8_SetDate">
    <vt:lpwstr>2026-05-03T10:09:58Z</vt:lpwstr>
  </property>
  <property fmtid="{D5CDD505-2E9C-101B-9397-08002B2CF9AE}" pid="4" name="MSIP_Label_b60f8386-55a0-404e-9dce-4d5bc8b309d8_Method">
    <vt:lpwstr>Standard</vt:lpwstr>
  </property>
  <property fmtid="{D5CDD505-2E9C-101B-9397-08002B2CF9AE}" pid="5" name="MSIP_Label_b60f8386-55a0-404e-9dce-4d5bc8b309d8_Name">
    <vt:lpwstr>b60f8386-55a0-404e-9dce-4d5bc8b309d8</vt:lpwstr>
  </property>
  <property fmtid="{D5CDD505-2E9C-101B-9397-08002B2CF9AE}" pid="6" name="MSIP_Label_b60f8386-55a0-404e-9dce-4d5bc8b309d8_SiteId">
    <vt:lpwstr>7a9376d4-7c43-480f-82ba-a090647f651d</vt:lpwstr>
  </property>
  <property fmtid="{D5CDD505-2E9C-101B-9397-08002B2CF9AE}" pid="7" name="MSIP_Label_b60f8386-55a0-404e-9dce-4d5bc8b309d8_ActionId">
    <vt:lpwstr>a767a2c8-ee39-462a-9955-33a5dd9aad0a</vt:lpwstr>
  </property>
  <property fmtid="{D5CDD505-2E9C-101B-9397-08002B2CF9AE}" pid="8" name="MSIP_Label_b60f8386-55a0-404e-9dce-4d5bc8b309d8_ContentBits">
    <vt:lpwstr>2</vt:lpwstr>
  </property>
  <property fmtid="{D5CDD505-2E9C-101B-9397-08002B2CF9AE}" pid="9" name="MSIP_Label_b60f8386-55a0-404e-9dce-4d5bc8b309d8_Tag">
    <vt:lpwstr>10, 3, 0, 1</vt:lpwstr>
  </property>
</Properties>
</file>